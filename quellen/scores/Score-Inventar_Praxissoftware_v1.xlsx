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Inventar" sheetId="2" state="visible" r:id="rId4"/>
    <sheet name="Scoring" sheetId="3" state="visible" r:id="rId5"/>
    <sheet name="Quellen" sheetId="4" state="visible" r:id="rId6"/>
  </sheets>
  <definedNames>
    <definedName function="false" hidden="true" localSheetId="1" name="_xlnm._FilterDatabase" vbProcedure="false">Inventar!$A$3:$O$21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<sst xmlns="http://schemas.openxmlformats.org/spreadsheetml/2006/main" count="540" uniqueCount="308">
  <si>
    <t xml:space="preserve">Score-Inventar fuer die Praxissoftware</t>
  </si>
  <si>
    <t xml:space="preserve">18 Scores aus dem Download-Bereich von digotor.info | Stand: 20.09.2026 | Version 1.0</t>
  </si>
  <si>
    <t xml:space="preserve">Zweck</t>
  </si>
  <si>
    <t xml:space="preserve">Entscheidungsgrundlage: welche Scores kommen in welcher Reihenfolge in die Software, und welche Rechte muessen vorher geklaert sein.</t>
  </si>
  <si>
    <t xml:space="preserve">Blatt 'Inventar'</t>
  </si>
  <si>
    <t xml:space="preserve">Klinische und psychometrische Eckdaten je Score: Items, Antwortformat, Wertebereich, Richtung, Subskalen, MCID/MDC, Interpretation.</t>
  </si>
  <si>
    <t xml:space="preserve">Blatt 'Scoring'</t>
  </si>
  <si>
    <t xml:space="preserve">Rechenregeln und Sonderfaelle (fehlende Werte, nicht gewertete Items) - die Vorlage fuer die JSON-Definition.</t>
  </si>
  <si>
    <t xml:space="preserve">Blatt 'Quellen'</t>
  </si>
  <si>
    <t xml:space="preserve">Zitate, Dateinamen und Direktlinks zu den Original-PDFs.</t>
  </si>
  <si>
    <t xml:space="preserve">WICHTIG - Itemtexte</t>
  </si>
  <si>
    <t xml:space="preserve">Layout, Logo und Farben gehoeren der Marke, der Wortlaut gehoert dem Instrument. Eine geaenderte Formulierung hebt die Validitaet und die Vergleichbarkeit mit den Normwerten auf - Cut-offs und MCID gelten dann nicht mehr.</t>
  </si>
  <si>
    <t xml:space="preserve">WICHTIG - offene Felder</t>
  </si>
  <si>
    <t xml:space="preserve">Wo 'im PDF nicht angegeben' oder 'im PDF nicht geregelt' steht, fehlt die Angabe in der Quelle. Diese Felder sind vor der Implementierung aus der Primaerliteratur zu ergaenzen oder bewusst selbst festzulegen - nicht zu schaetzen.</t>
  </si>
  <si>
    <t xml:space="preserve">Umfang (live aus dem Inventar)</t>
  </si>
  <si>
    <t xml:space="preserve">Eintraege gesamt</t>
  </si>
  <si>
    <t xml:space="preserve">Prioritaet A (Kern/Basis)</t>
  </si>
  <si>
    <t xml:space="preserve">Prioritaet B (Erweiterung)</t>
  </si>
  <si>
    <t xml:space="preserve">Items gesamt (nur eindeutig bezifferte)</t>
  </si>
  <si>
    <t xml:space="preserve">Inventar - klinische und psychometrische Eckdaten</t>
  </si>
  <si>
    <t xml:space="preserve">Nr</t>
  </si>
  <si>
    <t xml:space="preserve">Score</t>
  </si>
  <si>
    <t xml:space="preserve">Vollstaendiger Name</t>
  </si>
  <si>
    <t xml:space="preserve">Region / Domaene</t>
  </si>
  <si>
    <t xml:space="preserve">Konstrukt</t>
  </si>
  <si>
    <t xml:space="preserve">Ausgefuellt von</t>
  </si>
  <si>
    <t xml:space="preserve">Items</t>
  </si>
  <si>
    <t xml:space="preserve">Antwortformat</t>
  </si>
  <si>
    <t xml:space="preserve">Wertebereich</t>
  </si>
  <si>
    <t xml:space="preserve">Richtung</t>
  </si>
  <si>
    <t xml:space="preserve">Subskalen</t>
  </si>
  <si>
    <t xml:space="preserve">MCID / MDC</t>
  </si>
  <si>
    <t xml:space="preserve">Interpretation / Cut-offs</t>
  </si>
  <si>
    <t xml:space="preserve">Sprachversion</t>
  </si>
  <si>
    <t xml:space="preserve">Prioritaet</t>
  </si>
  <si>
    <t xml:space="preserve">Anamnesebogen V8</t>
  </si>
  <si>
    <t xml:space="preserve">Anamnesebogen Version 8 (DIGOTOR)</t>
  </si>
  <si>
    <t xml:space="preserve">Allgemein / Erstkontakt</t>
  </si>
  <si>
    <t xml:space="preserve">Anamnese, Schmerzlokalisation, Red Flags, Vorgeschichte</t>
  </si>
  <si>
    <t xml:space="preserve">Patient</t>
  </si>
  <si>
    <t xml:space="preserve">39 nummerierte Fragen (gemischt)</t>
  </si>
  <si>
    <t xml:space="preserve">Ja/Nein, Mehrfachauswahl, NRS 0-10, Freitext</t>
  </si>
  <si>
    <t xml:space="preserve">kein Summenscore</t>
  </si>
  <si>
    <t xml:space="preserve">n/a (kein Score)</t>
  </si>
  <si>
    <t xml:space="preserve">keine</t>
  </si>
  <si>
    <t xml:space="preserve">n/a</t>
  </si>
  <si>
    <t xml:space="preserve">Screening-Instrument: Schmerzbild, Verlauf, Provokation/Linderung, neuropathische Merkmale</t>
  </si>
  <si>
    <t xml:space="preserve">Deutsch (Originaldokument DIGOTOR)</t>
  </si>
  <si>
    <t xml:space="preserve">A - Basis</t>
  </si>
  <si>
    <t xml:space="preserve">ODI</t>
  </si>
  <si>
    <t xml:space="preserve">Oswestry Disability Index</t>
  </si>
  <si>
    <t xml:space="preserve">Wirbelsaeule / LWS</t>
  </si>
  <si>
    <t xml:space="preserve">Funktionseinschraenkung bei Rueckenschmerz</t>
  </si>
  <si>
    <t xml:space="preserve">10 Sektionen</t>
  </si>
  <si>
    <t xml:space="preserve">je 6 Aussagen, 0-5 Punkte</t>
  </si>
  <si>
    <t xml:space="preserve">0-100 %</t>
  </si>
  <si>
    <t xml:space="preserve">hoch = schlechter</t>
  </si>
  <si>
    <t xml:space="preserve">keine (Gesamtscore)</t>
  </si>
  <si>
    <t xml:space="preserve">MDC95: 9 (Mannion 2006) / 11,75 (Johnsen 2013) / 13,47 (Monticone 2012); MCID: 5-17 bzw. 12,8</t>
  </si>
  <si>
    <t xml:space="preserve">0-20% minimal | 21-40% moderat | 41-60% stark | 61-80% sehr stark | 81-100% bettlaegerig (Fairbank 2000)</t>
  </si>
  <si>
    <t xml:space="preserve">Deutsch, validiert (Mannion et al. 2006)</t>
  </si>
  <si>
    <t xml:space="preserve">A - Kern</t>
  </si>
  <si>
    <t xml:space="preserve">RMDQ</t>
  </si>
  <si>
    <t xml:space="preserve">Roland and Morris Disability Questionnaire</t>
  </si>
  <si>
    <t xml:space="preserve">Funktionseinschraenkung bei Rueckenschmerz (heute)</t>
  </si>
  <si>
    <t xml:space="preserve">24</t>
  </si>
  <si>
    <t xml:space="preserve">Ja/Nein (Ankreuzen = 1 Punkt)</t>
  </si>
  <si>
    <t xml:space="preserve">0-24</t>
  </si>
  <si>
    <t xml:space="preserve">MCID abhaengig vom Ausgangswert: &lt;9 Punkte -&gt; 1-2 | &gt;16 Punkte -&gt; 8 | unbestimmt -&gt; 5</t>
  </si>
  <si>
    <t xml:space="preserve">Bei Ausgangswerten &lt;4 oder &gt;20 wenig aussagekraeftig (Boden-/Deckeneffekt)</t>
  </si>
  <si>
    <t xml:space="preserve">Deutsch, validiert (Exner &amp; Keel 2000)</t>
  </si>
  <si>
    <t xml:space="preserve">NDI</t>
  </si>
  <si>
    <t xml:space="preserve">Neck Disability Index</t>
  </si>
  <si>
    <t xml:space="preserve">Wirbelsaeule / HWS</t>
  </si>
  <si>
    <t xml:space="preserve">Funktionseinschraenkung bei Nackenschmerz</t>
  </si>
  <si>
    <t xml:space="preserve">MDC: 5 Punkte bzw. 10 % (Vernon 1991); MCID: 3,5-9,5 (Schellingerhout 2012), 8,4 (Jorritsma 2012)</t>
  </si>
  <si>
    <t xml:space="preserve">&lt;=8 % geringe Symptomatik | &gt;40 % sehr schwere Symptomatik, Chronifizierungsrisiko</t>
  </si>
  <si>
    <t xml:space="preserve">Deutsch, validiert (Cramer et al. 2014)</t>
  </si>
  <si>
    <t xml:space="preserve">SPADI</t>
  </si>
  <si>
    <t xml:space="preserve">Shoulder Pain and Disability Index</t>
  </si>
  <si>
    <t xml:space="preserve">Obere Extremitaet / Schulter</t>
  </si>
  <si>
    <t xml:space="preserve">Schmerz und Funktion der Schulter</t>
  </si>
  <si>
    <t xml:space="preserve">13 (5 Schmerz + 8 Funktion)</t>
  </si>
  <si>
    <t xml:space="preserve">NRS 0-10 je Item</t>
  </si>
  <si>
    <t xml:space="preserve">Schmerz (0-50) | Funktion (0-80)</t>
  </si>
  <si>
    <t xml:space="preserve">MDC: 18 Punkte (Angst et al. 2007)</t>
  </si>
  <si>
    <t xml:space="preserve">0 = keine Schmerzen/keine Schwierigkeiten; 100 = maximale Schmerzen, keine Taetigkeit moeglich</t>
  </si>
  <si>
    <t xml:space="preserve">Deutsch, validiert (Angst et al. 2007)</t>
  </si>
  <si>
    <t xml:space="preserve">PRWE-G</t>
  </si>
  <si>
    <t xml:space="preserve">Patient-Rated Wrist Evaluation</t>
  </si>
  <si>
    <t xml:space="preserve">Obere Extremitaet / Handgelenk</t>
  </si>
  <si>
    <t xml:space="preserve">Schmerz und Funktion des Handgelenks (letzte Woche)</t>
  </si>
  <si>
    <t xml:space="preserve">15 (5 Schmerz + 10 Funktion)</t>
  </si>
  <si>
    <t xml:space="preserve">0-100</t>
  </si>
  <si>
    <t xml:space="preserve">Schmerz Items 1-5 (0-50) | Funktion Items 6-15 (Summe/2 = 0-50)</t>
  </si>
  <si>
    <t xml:space="preserve">MCID: ca. 11-12 Punkte im Gesamtscore</t>
  </si>
  <si>
    <t xml:space="preserve">niedriger Wert = weniger Schmerz/Beeintraechtigung</t>
  </si>
  <si>
    <t xml:space="preserve">Deutsch, validiert (John et al. 2008)</t>
  </si>
  <si>
    <t xml:space="preserve">B - Erweiterung</t>
  </si>
  <si>
    <t xml:space="preserve">LEFS</t>
  </si>
  <si>
    <t xml:space="preserve">Lower Extremity Functional Scale</t>
  </si>
  <si>
    <t xml:space="preserve">Untere Extremitaet / allgemein</t>
  </si>
  <si>
    <t xml:space="preserve">Aktivitaetseinschraenkung der unteren Extremitaet</t>
  </si>
  <si>
    <t xml:space="preserve">20</t>
  </si>
  <si>
    <t xml:space="preserve">5-stufig, 0-4 Punkte</t>
  </si>
  <si>
    <t xml:space="preserve">0-80</t>
  </si>
  <si>
    <t xml:space="preserve">hoch = besser</t>
  </si>
  <si>
    <t xml:space="preserve">im PDF nicht angegeben - vor Implementierung aus Literatur ergaenzen</t>
  </si>
  <si>
    <t xml:space="preserve">52 Punkte = guter Aktivitaetsstatus (68-80 J.); &lt;20 Punkte = grundlegende Hilfsbeduerftigkeit</t>
  </si>
  <si>
    <t xml:space="preserve">Deutsch, validiert (Naal et al. 2015)</t>
  </si>
  <si>
    <t xml:space="preserve">KOOS</t>
  </si>
  <si>
    <t xml:space="preserve">Knee Injury and Osteoarthritis Outcome Score</t>
  </si>
  <si>
    <t xml:space="preserve">Untere Extremitaet / Knie</t>
  </si>
  <si>
    <t xml:space="preserve">Knie: Schmerz, Symptome, ADL, Sport, Lebensqualitaet</t>
  </si>
  <si>
    <t xml:space="preserve">42 (P9, S7, A17, SP5, Q4)</t>
  </si>
  <si>
    <t xml:space="preserve">5-stufig, 0-4 Punkte (0 = gering, 4 = stark)</t>
  </si>
  <si>
    <t xml:space="preserve">0-100 je Subskala</t>
  </si>
  <si>
    <t xml:space="preserve">Schmerz (9) | Symptome (7) | ADL (17) | Sport/Freizeit (5) | Lebensqualitaet (4)</t>
  </si>
  <si>
    <t xml:space="preserve">MDC je Subskala (Collins 2011): Schmerz 6-6,1 | Symptome 5-8,5 | ADL 7-8 | Sport 5,8-12 | QoL 7,2</t>
  </si>
  <si>
    <t xml:space="preserve">Subskalen einzeln auswerten - kein Gesamtscore bilden</t>
  </si>
  <si>
    <t xml:space="preserve">Deutsch, validiert (Kessler et al. 2003)</t>
  </si>
  <si>
    <t xml:space="preserve">HOOS</t>
  </si>
  <si>
    <t xml:space="preserve">Hip Osteoarthritis Outcome Score</t>
  </si>
  <si>
    <t xml:space="preserve">Untere Extremitaet / Huefte</t>
  </si>
  <si>
    <t xml:space="preserve">Huefte: Symptome, Schmerz, ADL, Sport, Lebensqualitaet</t>
  </si>
  <si>
    <t xml:space="preserve">39 laut PDF (max. 156 Punkte) - Originalversion hat 40 Items, vor Implementierung pruefen</t>
  </si>
  <si>
    <t xml:space="preserve">5-stufig, 0-4 Punkte (4 = gering, 0 = stark)</t>
  </si>
  <si>
    <t xml:space="preserve">Symptome | Schmerz | ADL | Sport/Freizeit | Lebensqualitaet</t>
  </si>
  <si>
    <t xml:space="preserve">MDC/MCID je Subskala (Kemp 2013): Symptome 14/9 | Schmerz 10/9 | ADL 9/6 | Sport 17/10 | QoL 15/11</t>
  </si>
  <si>
    <t xml:space="preserve">ACHTUNG: Punktrichtung gegenlaeufig zum KOOS - beim Import nicht verwechseln</t>
  </si>
  <si>
    <t xml:space="preserve">Deutsch, validiert (Blasimann et al. 2014)</t>
  </si>
  <si>
    <t xml:space="preserve">FAAM-G</t>
  </si>
  <si>
    <t xml:space="preserve">Foot and Ankle Ability Measure</t>
  </si>
  <si>
    <t xml:space="preserve">Untere Extremitaet / Fuss &amp; Sprunggelenk</t>
  </si>
  <si>
    <t xml:space="preserve">Funktion Fuss/Sprunggelenk in Alltag und Sport</t>
  </si>
  <si>
    <t xml:space="preserve">29 (21 ADL + 8 Sport)</t>
  </si>
  <si>
    <t xml:space="preserve">5-stufig, 4-0 Punkte absteigend; 'nicht zutreffend' = nicht gewertet</t>
  </si>
  <si>
    <t xml:space="preserve">0-100 % je Subskala</t>
  </si>
  <si>
    <t xml:space="preserve">ADL (max. 84 Punkte) | Sport (max. 32 Punkte)</t>
  </si>
  <si>
    <t xml:space="preserve">MCID: 8-9 Punkte (ADL und Sport; Kivlan 2011, Martin 2005)</t>
  </si>
  <si>
    <t xml:space="preserve">hohe Werte = geringe Funktionseinschraenkung</t>
  </si>
  <si>
    <t xml:space="preserve">Deutsch, validiert (Nauck &amp; Lohrer 2011)</t>
  </si>
  <si>
    <t xml:space="preserve">VISA-A</t>
  </si>
  <si>
    <t xml:space="preserve">VISA-A Score</t>
  </si>
  <si>
    <t xml:space="preserve">Untere Extremitaet / Achillessehne</t>
  </si>
  <si>
    <t xml:space="preserve">Schweregrad und Verlauf der Achillessehnen-Tendinopathie</t>
  </si>
  <si>
    <t xml:space="preserve">8</t>
  </si>
  <si>
    <t xml:space="preserve">gemischt (NRS, Kategorien, Aktivitaetsminuten)</t>
  </si>
  <si>
    <t xml:space="preserve">MCID: mindestens 12 Punkte (van Sterkenburg 2012)</t>
  </si>
  <si>
    <t xml:space="preserve">100 = beschwerdefrei; Reliabilitaet ICC 0,6-0,97</t>
  </si>
  <si>
    <t xml:space="preserve">Deutsch, validiert (Lohrer &amp; Nauck 2009/2011)</t>
  </si>
  <si>
    <t xml:space="preserve">VISA-P-G</t>
  </si>
  <si>
    <t xml:space="preserve">VISA-P Score (deutsch)</t>
  </si>
  <si>
    <t xml:space="preserve">Untere Extremitaet / Patellasehne</t>
  </si>
  <si>
    <t xml:space="preserve">Schweregrad und Verlauf der Patellasehnen-Tendinopathie</t>
  </si>
  <si>
    <t xml:space="preserve">MDC: 12,6 Punkte; MCID: &gt;13 Punkte</t>
  </si>
  <si>
    <t xml:space="preserve">nicht zur Diagnosestellung geeignet - nur Schweregrad und Verlauf</t>
  </si>
  <si>
    <t xml:space="preserve">Deutsch, validiert (Lohrer &amp; Nauck 2011)</t>
  </si>
  <si>
    <t xml:space="preserve">Tegner (TAS)</t>
  </si>
  <si>
    <t xml:space="preserve">Tegner Activity Scale</t>
  </si>
  <si>
    <t xml:space="preserve">Alltags- und sportartspezifisches Aktivitaetsniveau</t>
  </si>
  <si>
    <t xml:space="preserve">1</t>
  </si>
  <si>
    <t xml:space="preserve">Einstufige Skala 0-10 mit Taetigkeitsbeschreibungen</t>
  </si>
  <si>
    <t xml:space="preserve">0-10</t>
  </si>
  <si>
    <t xml:space="preserve">hoch = aktiver</t>
  </si>
  <si>
    <t xml:space="preserve">MCID: 1,4 Punkte (Wirth et al. 2013)</t>
  </si>
  <si>
    <t xml:space="preserve">Verlaufskontrolle prae-/postoperativ; ergaenzt KOOS gut</t>
  </si>
  <si>
    <t xml:space="preserve">Deutsch, validiert (Wirth et al. 2013)</t>
  </si>
  <si>
    <t xml:space="preserve">FABQ</t>
  </si>
  <si>
    <t xml:space="preserve">Fear Avoidance Beliefs Questionnaire</t>
  </si>
  <si>
    <t xml:space="preserve">Schmerz / Psychosozial</t>
  </si>
  <si>
    <t xml:space="preserve">Angst-Vermeidungs-Ueberzeugungen bei Rueckenschmerz</t>
  </si>
  <si>
    <t xml:space="preserve">16 (davon 11 gewertet)</t>
  </si>
  <si>
    <t xml:space="preserve">7-stufig, 0-6 Punkte</t>
  </si>
  <si>
    <t xml:space="preserve">PA 0-24 | W 0-42</t>
  </si>
  <si>
    <t xml:space="preserve">FABQ-PA: Items 2,3,4,5 | FABQ-W: Items 6,7,9,10,11,12,15</t>
  </si>
  <si>
    <t xml:space="preserve">MDC: PA 5,4 | W 6,8 (George 2010)</t>
  </si>
  <si>
    <t xml:space="preserve">Erhoehtes Chronifizierungsrisiko: PA &gt;15 | W &gt;34</t>
  </si>
  <si>
    <t xml:space="preserve">Deutsch, validiert (Pfingsten et al. 2000)</t>
  </si>
  <si>
    <t xml:space="preserve">STarT Back</t>
  </si>
  <si>
    <t xml:space="preserve">STarT Back Screening Tool</t>
  </si>
  <si>
    <t xml:space="preserve">Risikostratifizierung Chronifizierung bei Rueckenschmerz</t>
  </si>
  <si>
    <t xml:space="preserve">9</t>
  </si>
  <si>
    <t xml:space="preserve">8x Ja/Nein (0/1) + Item 9 5-stufig (sehr/extrem = 1)</t>
  </si>
  <si>
    <t xml:space="preserve">Gesamt 0-9 | Teilscore 0-5</t>
  </si>
  <si>
    <t xml:space="preserve">Gesamtscore (Items 1-9) | psychosozialer Teilscore (Items 5-9)</t>
  </si>
  <si>
    <t xml:space="preserve">im PDF nicht angegeben (Stratifizierungsinstrument, kein Verlaufsscore)</t>
  </si>
  <si>
    <t xml:space="preserve">Gesamt &lt;=3 = niedriges Risiko | &gt;=4 und Teilscore &lt;=3 = mittleres Risiko | Teilscore 4-5 = hohes Risiko (multidisziplinaer)</t>
  </si>
  <si>
    <t xml:space="preserve">Deutsch, validiert (Aebischer et al. 2015)</t>
  </si>
  <si>
    <t xml:space="preserve">PHQ-4</t>
  </si>
  <si>
    <t xml:space="preserve">Patient Health Questionnaire 4</t>
  </si>
  <si>
    <t xml:space="preserve">Ultrakurz-Screening Depression und Angst (letzte 2 Wochen)</t>
  </si>
  <si>
    <t xml:space="preserve">4</t>
  </si>
  <si>
    <t xml:space="preserve">4-stufig, 0-3 Punkte</t>
  </si>
  <si>
    <t xml:space="preserve">0-12</t>
  </si>
  <si>
    <t xml:space="preserve">Depression (Items 1+2, 0-6) | Angst (Items 3+4, 0-6)</t>
  </si>
  <si>
    <t xml:space="preserve">im PDF nicht angegeben</t>
  </si>
  <si>
    <t xml:space="preserve">0-2 kein | 3-5 gering | 6-8 moderat | 9-12 starker Distress; Subskala &gt;=3 = positives Screening</t>
  </si>
  <si>
    <t xml:space="preserve">Deutsch, validiert (Loewe et al. 2010)</t>
  </si>
  <si>
    <t xml:space="preserve">TSK-GV</t>
  </si>
  <si>
    <t xml:space="preserve">Tampa Scale of Kinesiophobia (dt. Kurzversion)</t>
  </si>
  <si>
    <t xml:space="preserve">Bewegungsangst / Kinesiophobie</t>
  </si>
  <si>
    <t xml:space="preserve">11</t>
  </si>
  <si>
    <t xml:space="preserve">4-stufig A-D; Punktwerte im PDF nicht ausgewiesen (Standard 1-4) - vor Implementierung pruefen</t>
  </si>
  <si>
    <t xml:space="preserve">11-44 (bei Standardvergabe 1-4)</t>
  </si>
  <si>
    <t xml:space="preserve">keine - PDF empfiehlt ausdruecklich nur den Gesamtwert</t>
  </si>
  <si>
    <t xml:space="preserve">hoher Wert = ausgepraegte Kinesiophobie</t>
  </si>
  <si>
    <t xml:space="preserve">Deutsch, validiert (Rusu et al. 2014)</t>
  </si>
  <si>
    <t xml:space="preserve">PCS</t>
  </si>
  <si>
    <t xml:space="preserve">Pain Catastrophizing Scale</t>
  </si>
  <si>
    <t xml:space="preserve">Schmerzkatastrophisieren</t>
  </si>
  <si>
    <t xml:space="preserve">13</t>
  </si>
  <si>
    <t xml:space="preserve">0-52</t>
  </si>
  <si>
    <t xml:space="preserve">Hilflosigkeit (1-5, 12) | Verstaerkung (6, 7, 13) | Gruebeln (8-11)</t>
  </si>
  <si>
    <t xml:space="preserve">MDC: Gesamt 12,79 | Hilflosigkeit 6,46 | Verstaerkung 4,02 | Gruebeln 5,06 (SEM Gesamt 4,61)</t>
  </si>
  <si>
    <t xml:space="preserve">hoher Wert = ausgepraegtes Katastrophisieren</t>
  </si>
  <si>
    <t xml:space="preserve">Deutsch, validiert (Meyer et al. 2008)</t>
  </si>
  <si>
    <t xml:space="preserve">Scoring-Regeln - Vorlage fuer die JSON-Definition je Score</t>
  </si>
  <si>
    <t xml:space="preserve">Jede Zeile wird spaeter zu einem scoring-Block: subskalen, formel, wertebereich, richtung, missing-value-regel. Felder mit 'im PDF nicht geregelt' musst du selbst festlegen und dokumentieren.</t>
  </si>
  <si>
    <t xml:space="preserve">Scoring-Regel</t>
  </si>
  <si>
    <t xml:space="preserve">Umgang mit fehlenden Werten</t>
  </si>
  <si>
    <t xml:space="preserve">Kein Scoring - reine Informationserfassung</t>
  </si>
  <si>
    <t xml:space="preserve">Summe der 10 Sektionen (0-50), x 2 = Prozentwert</t>
  </si>
  <si>
    <t xml:space="preserve">im PDF nicht geregelt - Regel selbst definieren</t>
  </si>
  <si>
    <t xml:space="preserve">Summe der angekreuzten Aussagen</t>
  </si>
  <si>
    <t xml:space="preserve">(Summe / 50) x 100 = Score in %</t>
  </si>
  <si>
    <t xml:space="preserve">(Summe aller Antwortpunkte / 130) x 100</t>
  </si>
  <si>
    <t xml:space="preserve">Alle Fragen muessen beantwortet werden (Hinweis im PDF)</t>
  </si>
  <si>
    <t xml:space="preserve">Schmerz-Summe + (Funktions-Summe / 2) = Gesamtscore 0-100</t>
  </si>
  <si>
    <t xml:space="preserve">'trifft nicht zu' wird in der jeweiligen Subskala nicht mitgezaehlt</t>
  </si>
  <si>
    <t xml:space="preserve">Summe aller Antwortpunkte</t>
  </si>
  <si>
    <t xml:space="preserve">maximal 4 unbeantwortete Fragen zulaessig, sonst nicht valide interpretierbar</t>
  </si>
  <si>
    <t xml:space="preserve">Je Subskala: 100 - (Mittelwert der Items x 100 / 4)</t>
  </si>
  <si>
    <t xml:space="preserve">Nicht durchfuehrbare Aktivitaet = schlechteste Punktzahl. Nicht-Sportler: Sport-Subskala auslassen; Aktive: ADL auslassen</t>
  </si>
  <si>
    <t xml:space="preserve">Punktsumme (max. 156) in Prozentwert 0-100 umrechnen; Subskalen separat</t>
  </si>
  <si>
    <t xml:space="preserve">mindestens 50 % der Fragen muessen beantwortet sein; nicht durchfuehrbare Aktivitaet = 0 Punkte</t>
  </si>
  <si>
    <t xml:space="preserve">(erreichte Punkte / maximal moegliche Punkte) x 100 - je Subskala getrennt</t>
  </si>
  <si>
    <t xml:space="preserve">'nicht zutreffend' reduziert das Maximum, wird nicht als 0 gewertet</t>
  </si>
  <si>
    <t xml:space="preserve">Summe der Antwortwerte, dargestellt als x/100 bzw. %</t>
  </si>
  <si>
    <t xml:space="preserve">im PDF nicht geregelt - alle Fragen erforderlich</t>
  </si>
  <si>
    <t xml:space="preserve">Summe der Antwortwerte, max. 100 Punkte</t>
  </si>
  <si>
    <t xml:space="preserve">Direkte Einstufung - keine Berechnung</t>
  </si>
  <si>
    <t xml:space="preserve">Subskalen getrennt summieren - Items 1, 8, 13, 14, 16 werden NICHT gewertet</t>
  </si>
  <si>
    <t xml:space="preserve">Gesamt &lt;=3 -&gt; geringes Risiko; &gt;=4 -&gt; Teilscore Items 5-9 betrachten</t>
  </si>
  <si>
    <t xml:space="preserve">im PDF nicht geregelt - alle Items erforderlich</t>
  </si>
  <si>
    <t xml:space="preserve">Summe aller 4 Items = Gesamtscore; Subskalen als Item-Paare</t>
  </si>
  <si>
    <t xml:space="preserve">Summe aller 11 Items; Einzelitems laut PDF nicht aussagekraeftig</t>
  </si>
  <si>
    <t xml:space="preserve">im PDF nicht geregelt</t>
  </si>
  <si>
    <t xml:space="preserve">Subskalen = Summe der zugehoerigen Items; Gesamt = Summe aller 13 Items</t>
  </si>
  <si>
    <t xml:space="preserve">Quellen und Originaldateien</t>
  </si>
  <si>
    <t xml:space="preserve">Alle PDFs liegen lokal unter Downloads\Digotor_Scores\</t>
  </si>
  <si>
    <t xml:space="preserve">Quelle (Validierung / Original)</t>
  </si>
  <si>
    <t xml:space="preserve">Dateiname</t>
  </si>
  <si>
    <t xml:space="preserve">Direktlink Digotor</t>
  </si>
  <si>
    <t xml:space="preserve">DIGOTOR GbR, Version 8, 07/2026</t>
  </si>
  <si>
    <t xml:space="preserve">Anamnesebogen_Version-8_DIGOTOR_07-2026.pdf</t>
  </si>
  <si>
    <t xml:space="preserve">https://digotor.info/wp-content/uploads/2026/07/Anamnesebogen_Version-8_DIGOTOR_07-2026.pdf</t>
  </si>
  <si>
    <t xml:space="preserve">Mannion et al., Eur Spine J 2006;15:55; Fairbank &amp; Pynsent, Spine 2000;25:2940</t>
  </si>
  <si>
    <t xml:space="preserve">Oswestry-Disability-Index-ODI_09-2023.pdf</t>
  </si>
  <si>
    <t xml:space="preserve">https://digotor.info/wp-content/uploads/2026/05/Oswestry-Disability-Index-ODI_09-2023.pdf</t>
  </si>
  <si>
    <t xml:space="preserve">Exner &amp; Keel, Schmerz 2000;14:392; Roland &amp; Morris, Spine 1983;8:141</t>
  </si>
  <si>
    <t xml:space="preserve">Roland-and-Morris-Disability-Questionnaire-RMDQ_09-2023.pdf</t>
  </si>
  <si>
    <t xml:space="preserve">https://digotor.info/wp-content/uploads/2026/05/Roland-and-Morris-Disability-Questionnaire-RMDQ_09-2023.pdf</t>
  </si>
  <si>
    <t xml:space="preserve">Cramer et al., BMC Musculoskelet Disord 2014;15:91; Vernon &amp; Mior, JMPT 1991;14:409</t>
  </si>
  <si>
    <t xml:space="preserve">Neck-Disability-Index_09-2023.pdf</t>
  </si>
  <si>
    <t xml:space="preserve">https://digotor.info/wp-content/uploads/2026/05/Neck-Disability-Index_09-2023.pdf</t>
  </si>
  <si>
    <t xml:space="preserve">Angst et al., Rheumatology 2007;46:87; Roach et al., Arthritis Care Res 1991;4:143</t>
  </si>
  <si>
    <t xml:space="preserve">Shoulder-Pain-and-Disability-Index-SPADI_03-2026.pdf</t>
  </si>
  <si>
    <t xml:space="preserve">https://digotor.info/wp-content/uploads/2026/05/Shoulder-Pain-and-Disability-Index-SPADI_03-2026.pdf</t>
  </si>
  <si>
    <t xml:space="preserve">John et al., Clin Exp Rheumatol 2008;26:1047</t>
  </si>
  <si>
    <t xml:space="preserve">Patient-Rated-Wrist-Evaluation-Score-PRWE-G_08-2026.pdf</t>
  </si>
  <si>
    <t xml:space="preserve">https://digotor.info/wp-content/uploads/2026/08/Patient-Rated-Wrist-Evaluation-Score-PRWE-G_08-2026.pdf</t>
  </si>
  <si>
    <t xml:space="preserve">Naal et al., Qual Life Res 2015;24:405</t>
  </si>
  <si>
    <t xml:space="preserve">Lower-Extremity-Functional-Scale-LEFS_05-2024.pdf</t>
  </si>
  <si>
    <t xml:space="preserve">https://digotor.info/wp-content/uploads/2026/05/Lower-Extremity-Functional-Scale-LEFS_05-2024.pdf</t>
  </si>
  <si>
    <t xml:space="preserve">Kessler et al. 2003; Collins et al. 2011</t>
  </si>
  <si>
    <t xml:space="preserve">Knee-Injury-Osteoarthritis-Outcome-Score-KOOS_09-2023.pdf</t>
  </si>
  <si>
    <t xml:space="preserve">https://digotor.info/wp-content/uploads/2026/05/Knee-Injury-Osteoarthritis-Outcome-Score-KOOS_09-2023.pdf</t>
  </si>
  <si>
    <t xml:space="preserve">Blasimann et al., JOSPT 2014;44:989; Kemp et al., AJSM 2013;41:2065</t>
  </si>
  <si>
    <t xml:space="preserve">Hip-Osteoarthritis-Outcome-Score-HOOS_09-2023.pdf</t>
  </si>
  <si>
    <t xml:space="preserve">https://digotor.info/wp-content/uploads/2026/05/Hip-Osteoarthritis-Outcome-Score-HOOS_09-2023.pdf</t>
  </si>
  <si>
    <t xml:space="preserve">Nauck &amp; Lohrer, Br J Sports Med 2011;45:785; Martin et al. 2005</t>
  </si>
  <si>
    <t xml:space="preserve">Foot-and-Ankle-Ability-Measure-FAAM-G_09-2023.pdf</t>
  </si>
  <si>
    <t xml:space="preserve">https://digotor.info/wp-content/uploads/2026/05/Foot-and-Ankle-Ability-Measure-FAAM-G_09-2023.pdf</t>
  </si>
  <si>
    <t xml:space="preserve">Lohrer &amp; Nauck, BMC Musculoskelet Disord 2009;10:134; Robinson et al., BJSM 2001;35:335</t>
  </si>
  <si>
    <t xml:space="preserve">VISA-A-Score_09-2023.pdf</t>
  </si>
  <si>
    <t xml:space="preserve">https://digotor.info/wp-content/uploads/2026/05/VISA-A-Score_09-2023.pdf</t>
  </si>
  <si>
    <t xml:space="preserve">Lohrer &amp; Nauck, JOSPT 2011;41:180; Visentini et al. 1998</t>
  </si>
  <si>
    <t xml:space="preserve">VISA-P-G-Score_09-2023.pdf</t>
  </si>
  <si>
    <t xml:space="preserve">https://digotor.info/wp-content/uploads/2026/05/VISA-P-G-Score_09-2023.pdf</t>
  </si>
  <si>
    <t xml:space="preserve">Tegner &amp; Lysholm, Clin Orthop 1985;198:43; Wirth et al., Sportverletz Sportschaden 2013;27:21</t>
  </si>
  <si>
    <t xml:space="preserve">Tegner-Activity-Scale-TAS_09-2023.pdf</t>
  </si>
  <si>
    <t xml:space="preserve">https://digotor.info/wp-content/uploads/2026/05/Tegner-Activity-Scale-TAS_09-2023.pdf</t>
  </si>
  <si>
    <t xml:space="preserve">Pfingsten et al., Eur J Pain 2000;4:259; Waddell et al., Pain 1993;52:157</t>
  </si>
  <si>
    <t xml:space="preserve">Fear-Avoidance-Belief-Questionnaire-FABQ_09-2023.pdf</t>
  </si>
  <si>
    <t xml:space="preserve">https://digotor.info/wp-content/uploads/2026/05/Fear-Avoidance-Belief-Questionnaire-FABQ_09-2023.pdf</t>
  </si>
  <si>
    <t xml:space="preserve">Aebischer et al., PLoS One 2015; Hill et al., Lancet 2011;378:1560</t>
  </si>
  <si>
    <t xml:space="preserve">STarT-Back-Screening-Tool-Deutsch_09-2023.pdf</t>
  </si>
  <si>
    <t xml:space="preserve">https://digotor.info/wp-content/uploads/2026/05/STarT-Back-Screening-Tool-Deutsch_09-2023.pdf</t>
  </si>
  <si>
    <t xml:space="preserve">Loewe et al., J Affect Disord 2010;122:86; Kroenke et al., Psychosomatics 2009;50:613</t>
  </si>
  <si>
    <t xml:space="preserve">Patient-Health-Questionnaire-4-PHQ-4_09-2023.pdf</t>
  </si>
  <si>
    <t xml:space="preserve">https://digotor.info/wp-content/uploads/2026/05/Patient-Health-Questionnaire-4-PHQ-4_09-2023.pdf</t>
  </si>
  <si>
    <t xml:space="preserve">Rusu et al., BMC Musculoskelet Disord 2014;15:280</t>
  </si>
  <si>
    <t xml:space="preserve">Tampa-Scale-of-Kinesiophobia_09-2023.pdf</t>
  </si>
  <si>
    <t xml:space="preserve">https://digotor.info/wp-content/uploads/2026/05/Tampa-Scale-of-Kinesiophobia_09-2023.pdf</t>
  </si>
  <si>
    <t xml:space="preserve">Meyer et al., J Psychosom Res 2008;64:469</t>
  </si>
  <si>
    <t xml:space="preserve">Pain-Catastrophizing-Scale-PCS_09-2023.pdf</t>
  </si>
  <si>
    <t xml:space="preserve">https://digotor.info/wp-content/uploads/2026/05/Pain-Catastrophizing-Scale-PCS_09-2023.pdf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</si>
</sst>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3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F4F7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3D"/>
          <bgColor rgb="FF000000"/>
        </patternFill>
      </fill>
    </dxf>
    <dxf>
      <fill>
        <patternFill patternType="solid">
          <fgColor rgb="FFF4F7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7F5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digotor.info/wp-content/uploads/2026/07/Anamnesebogen_Version-8_DIGOTOR_07-2026.pdf" TargetMode="External"/><Relationship Id="rId2" Type="http://schemas.openxmlformats.org/officeDocument/2006/relationships/hyperlink" Target="https://digotor.info/wp-content/uploads/2026/05/Oswestry-Disability-Index-ODI_09-2023.pdf" TargetMode="External"/><Relationship Id="rId3" Type="http://schemas.openxmlformats.org/officeDocument/2006/relationships/hyperlink" Target="https://digotor.info/wp-content/uploads/2026/05/Roland-and-Morris-Disability-Questionnaire-RMDQ_09-2023.pdf" TargetMode="External"/><Relationship Id="rId4" Type="http://schemas.openxmlformats.org/officeDocument/2006/relationships/hyperlink" Target="https://digotor.info/wp-content/uploads/2026/05/Neck-Disability-Index_09-2023.pdf" TargetMode="External"/><Relationship Id="rId5" Type="http://schemas.openxmlformats.org/officeDocument/2006/relationships/hyperlink" Target="https://digotor.info/wp-content/uploads/2026/05/Shoulder-Pain-and-Disability-Index-SPADI_03-2026.pdf" TargetMode="External"/><Relationship Id="rId6" Type="http://schemas.openxmlformats.org/officeDocument/2006/relationships/hyperlink" Target="https://digotor.info/wp-content/uploads/2026/08/Patient-Rated-Wrist-Evaluation-Score-PRWE-G_08-2026.pdf" TargetMode="External"/><Relationship Id="rId7" Type="http://schemas.openxmlformats.org/officeDocument/2006/relationships/hyperlink" Target="https://digotor.info/wp-content/uploads/2026/05/Lower-Extremity-Functional-Scale-LEFS_05-2024.pdf" TargetMode="External"/><Relationship Id="rId8" Type="http://schemas.openxmlformats.org/officeDocument/2006/relationships/hyperlink" Target="https://digotor.info/wp-content/uploads/2026/05/Knee-Injury-Osteoarthritis-Outcome-Score-KOOS_09-2023.pdf" TargetMode="External"/><Relationship Id="rId9" Type="http://schemas.openxmlformats.org/officeDocument/2006/relationships/hyperlink" Target="https://digotor.info/wp-content/uploads/2026/05/Hip-Osteoarthritis-Outcome-Score-HOOS_09-2023.pdf" TargetMode="External"/><Relationship Id="rId10" Type="http://schemas.openxmlformats.org/officeDocument/2006/relationships/hyperlink" Target="https://digotor.info/wp-content/uploads/2026/05/Foot-and-Ankle-Ability-Measure-FAAM-G_09-2023.pdf" TargetMode="External"/><Relationship Id="rId11" Type="http://schemas.openxmlformats.org/officeDocument/2006/relationships/hyperlink" Target="https://digotor.info/wp-content/uploads/2026/05/VISA-A-Score_09-2023.pdf" TargetMode="External"/><Relationship Id="rId12" Type="http://schemas.openxmlformats.org/officeDocument/2006/relationships/hyperlink" Target="https://digotor.info/wp-content/uploads/2026/05/VISA-P-G-Score_09-2023.pdf" TargetMode="External"/><Relationship Id="rId13" Type="http://schemas.openxmlformats.org/officeDocument/2006/relationships/hyperlink" Target="https://digotor.info/wp-content/uploads/2026/05/Tegner-Activity-Scale-TAS_09-2023.pdf" TargetMode="External"/><Relationship Id="rId14" Type="http://schemas.openxmlformats.org/officeDocument/2006/relationships/hyperlink" Target="https://digotor.info/wp-content/uploads/2026/05/Fear-Avoidance-Belief-Questionnaire-FABQ_09-2023.pdf" TargetMode="External"/><Relationship Id="rId15" Type="http://schemas.openxmlformats.org/officeDocument/2006/relationships/hyperlink" Target="https://digotor.info/wp-content/uploads/2026/05/STarT-Back-Screening-Tool-Deutsch_09-2023.pdf" TargetMode="External"/><Relationship Id="rId16" Type="http://schemas.openxmlformats.org/officeDocument/2006/relationships/hyperlink" Target="https://digotor.info/wp-content/uploads/2026/05/Patient-Health-Questionnaire-4-PHQ-4_09-2023.pdf" TargetMode="External"/><Relationship Id="rId17" Type="http://schemas.openxmlformats.org/officeDocument/2006/relationships/hyperlink" Target="https://digotor.info/wp-content/uploads/2026/05/Tampa-Scale-of-Kinesiophobia_09-2023.pdf" TargetMode="External"/><Relationship Id="rId18" Type="http://schemas.openxmlformats.org/officeDocument/2006/relationships/hyperlink" Target="https://digotor.info/wp-content/uploads/2026/05/Pain-Catastrophizing-Scale-PCS_09-2023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4"/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/>
      <c r="B5" s="4"/>
    </row>
    <row r="6" customFormat="false" ht="23.85" hidden="false" customHeight="false" outlineLevel="0" collapsed="false">
      <c r="A6" s="3" t="s">
        <v>4</v>
      </c>
      <c r="B6" s="4" t="s">
        <v>5</v>
      </c>
    </row>
    <row r="7" customFormat="false" ht="15" hidden="false" customHeight="false" outlineLevel="0" collapsed="false">
      <c r="A7" s="3" t="s">
        <v>6</v>
      </c>
      <c r="B7" s="4" t="s">
        <v>7</v>
      </c>
    </row>
    <row r="8" customFormat="false" ht="15" hidden="false" customHeight="false" outlineLevel="0" collapsed="false">
      <c r="A8" s="3" t="s">
        <v>8</v>
      </c>
      <c r="B8" s="4" t="s">
        <v>9</v>
      </c>
    </row>
    <row r="9" customFormat="false" ht="15" hidden="false" customHeight="false" outlineLevel="0" collapsed="false">
      <c r="A9" s="3"/>
      <c r="B9" s="4"/>
    </row>
    <row r="10" customFormat="false" ht="23.85" hidden="false" customHeight="false" outlineLevel="0" collapsed="false">
      <c r="A10" s="3" t="s">
        <v>10</v>
      </c>
      <c r="B10" s="4" t="s">
        <v>11</v>
      </c>
    </row>
    <row r="11" customFormat="false" ht="23.85" hidden="false" customHeight="false" outlineLevel="0" collapsed="false">
      <c r="A11" s="3" t="s">
        <v>12</v>
      </c>
      <c r="B11" s="4" t="s">
        <v>13</v>
      </c>
    </row>
    <row r="13" customFormat="false" ht="17.35" hidden="false" customHeight="false" outlineLevel="0" collapsed="false">
      <c r="A13" s="5" t="s">
        <v>14</v>
      </c>
    </row>
    <row r="15" customFormat="false" ht="15" hidden="false" customHeight="false" outlineLevel="0" collapsed="false">
      <c r="A15" s="3" t="s">
        <v>15</v>
      </c>
      <c r="B15" s="6" t="n">
        <f aca="false">COUNTA(Inventar!B4:B21)</f>
        <v>18</v>
      </c>
    </row>
    <row r="16" customFormat="false" ht="15" hidden="false" customHeight="false" outlineLevel="0" collapsed="false">
      <c r="A16" s="3" t="s">
        <v>16</v>
      </c>
      <c r="B16" s="6" t="n">
        <f aca="false">COUNTIF(Inventar!O4:O21,"A*")</f>
        <v>14</v>
      </c>
    </row>
    <row r="17" customFormat="false" ht="15" hidden="false" customHeight="false" outlineLevel="0" collapsed="false">
      <c r="A17" s="3" t="s">
        <v>17</v>
      </c>
      <c r="B17" s="6" t="n">
        <f aca="false">COUNTIF(Inventar!O4:O21,"B*")</f>
        <v>4</v>
      </c>
    </row>
    <row r="18" customFormat="false" ht="15" hidden="false" customHeight="false" outlineLevel="0" collapsed="false">
      <c r="A18" s="3" t="s">
        <v>18</v>
      </c>
      <c r="B18" s="6" t="n">
        <f aca="false">SUMPRODUCT(IFERROR(VALUE(LEFT(Inventar!G4:G21,FIND(" ",Inventar!G4:G21&amp;" ")-1)),0))</f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34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34"/>
    <col collapsed="false" customWidth="true" hidden="false" outlineLevel="0" max="12" min="12" style="0" width="46"/>
    <col collapsed="false" customWidth="true" hidden="false" outlineLevel="0" max="13" min="13" style="0" width="50"/>
    <col collapsed="false" customWidth="true" hidden="false" outlineLevel="0" max="14" min="14" style="0" width="30"/>
    <col collapsed="false" customWidth="true" hidden="false" outlineLevel="0" max="15" min="15" style="0" width="15"/>
  </cols>
  <sheetData>
    <row r="1" customFormat="false" ht="17.35" hidden="false" customHeight="false" outlineLevel="0" collapsed="false">
      <c r="A1" s="5" t="s">
        <v>19</v>
      </c>
    </row>
    <row r="3" customFormat="false" ht="23.85" hidden="false" customHeight="false" outlineLevel="0" collapsed="false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  <c r="I3" s="7" t="s">
        <v>28</v>
      </c>
      <c r="J3" s="7" t="s">
        <v>29</v>
      </c>
      <c r="K3" s="7" t="s">
        <v>30</v>
      </c>
      <c r="L3" s="7" t="s">
        <v>31</v>
      </c>
      <c r="M3" s="7" t="s">
        <v>32</v>
      </c>
      <c r="N3" s="7" t="s">
        <v>33</v>
      </c>
      <c r="O3" s="7" t="s">
        <v>34</v>
      </c>
    </row>
    <row r="4" customFormat="false" ht="57.75" hidden="false" customHeight="true" outlineLevel="0" collapsed="false">
      <c r="A4" s="8" t="n">
        <v>1</v>
      </c>
      <c r="B4" s="8" t="s">
        <v>35</v>
      </c>
      <c r="C4" s="8" t="s">
        <v>36</v>
      </c>
      <c r="D4" s="8" t="s">
        <v>37</v>
      </c>
      <c r="E4" s="8" t="s">
        <v>38</v>
      </c>
      <c r="F4" s="8" t="s">
        <v>39</v>
      </c>
      <c r="G4" s="8" t="s">
        <v>40</v>
      </c>
      <c r="H4" s="8" t="s">
        <v>41</v>
      </c>
      <c r="I4" s="8" t="s">
        <v>42</v>
      </c>
      <c r="J4" s="8" t="s">
        <v>43</v>
      </c>
      <c r="K4" s="8" t="s">
        <v>44</v>
      </c>
      <c r="L4" s="8" t="s">
        <v>45</v>
      </c>
      <c r="M4" s="8" t="s">
        <v>46</v>
      </c>
      <c r="N4" s="8" t="s">
        <v>47</v>
      </c>
      <c r="O4" s="8" t="s">
        <v>48</v>
      </c>
    </row>
    <row r="5" customFormat="false" ht="57.75" hidden="false" customHeight="true" outlineLevel="0" collapsed="false">
      <c r="A5" s="9" t="n">
        <v>2</v>
      </c>
      <c r="B5" s="9" t="s">
        <v>49</v>
      </c>
      <c r="C5" s="9" t="s">
        <v>50</v>
      </c>
      <c r="D5" s="9" t="s">
        <v>51</v>
      </c>
      <c r="E5" s="9" t="s">
        <v>52</v>
      </c>
      <c r="F5" s="9" t="s">
        <v>39</v>
      </c>
      <c r="G5" s="9" t="s">
        <v>53</v>
      </c>
      <c r="H5" s="9" t="s">
        <v>54</v>
      </c>
      <c r="I5" s="9" t="s">
        <v>55</v>
      </c>
      <c r="J5" s="9" t="s">
        <v>56</v>
      </c>
      <c r="K5" s="9" t="s">
        <v>57</v>
      </c>
      <c r="L5" s="9" t="s">
        <v>58</v>
      </c>
      <c r="M5" s="9" t="s">
        <v>59</v>
      </c>
      <c r="N5" s="9" t="s">
        <v>60</v>
      </c>
      <c r="O5" s="9" t="s">
        <v>61</v>
      </c>
    </row>
    <row r="6" customFormat="false" ht="57.75" hidden="false" customHeight="true" outlineLevel="0" collapsed="false">
      <c r="A6" s="8" t="n">
        <v>3</v>
      </c>
      <c r="B6" s="8" t="s">
        <v>62</v>
      </c>
      <c r="C6" s="8" t="s">
        <v>63</v>
      </c>
      <c r="D6" s="8" t="s">
        <v>51</v>
      </c>
      <c r="E6" s="8" t="s">
        <v>64</v>
      </c>
      <c r="F6" s="8" t="s">
        <v>39</v>
      </c>
      <c r="G6" s="8" t="s">
        <v>65</v>
      </c>
      <c r="H6" s="8" t="s">
        <v>66</v>
      </c>
      <c r="I6" s="8" t="s">
        <v>67</v>
      </c>
      <c r="J6" s="8" t="s">
        <v>56</v>
      </c>
      <c r="K6" s="8" t="s">
        <v>44</v>
      </c>
      <c r="L6" s="8" t="s">
        <v>68</v>
      </c>
      <c r="M6" s="8" t="s">
        <v>69</v>
      </c>
      <c r="N6" s="8" t="s">
        <v>70</v>
      </c>
      <c r="O6" s="8" t="s">
        <v>61</v>
      </c>
    </row>
    <row r="7" customFormat="false" ht="57.75" hidden="false" customHeight="true" outlineLevel="0" collapsed="false">
      <c r="A7" s="9" t="n">
        <v>4</v>
      </c>
      <c r="B7" s="9" t="s">
        <v>71</v>
      </c>
      <c r="C7" s="9" t="s">
        <v>72</v>
      </c>
      <c r="D7" s="9" t="s">
        <v>73</v>
      </c>
      <c r="E7" s="9" t="s">
        <v>74</v>
      </c>
      <c r="F7" s="9" t="s">
        <v>39</v>
      </c>
      <c r="G7" s="9" t="s">
        <v>53</v>
      </c>
      <c r="H7" s="9" t="s">
        <v>54</v>
      </c>
      <c r="I7" s="9" t="s">
        <v>55</v>
      </c>
      <c r="J7" s="9" t="s">
        <v>56</v>
      </c>
      <c r="K7" s="9" t="s">
        <v>44</v>
      </c>
      <c r="L7" s="9" t="s">
        <v>75</v>
      </c>
      <c r="M7" s="9" t="s">
        <v>76</v>
      </c>
      <c r="N7" s="9" t="s">
        <v>77</v>
      </c>
      <c r="O7" s="9" t="s">
        <v>61</v>
      </c>
    </row>
    <row r="8" customFormat="false" ht="57.75" hidden="false" customHeight="true" outlineLevel="0" collapsed="false">
      <c r="A8" s="8" t="n">
        <v>5</v>
      </c>
      <c r="B8" s="8" t="s">
        <v>78</v>
      </c>
      <c r="C8" s="8" t="s">
        <v>79</v>
      </c>
      <c r="D8" s="8" t="s">
        <v>80</v>
      </c>
      <c r="E8" s="8" t="s">
        <v>81</v>
      </c>
      <c r="F8" s="8" t="s">
        <v>39</v>
      </c>
      <c r="G8" s="8" t="s">
        <v>82</v>
      </c>
      <c r="H8" s="8" t="s">
        <v>83</v>
      </c>
      <c r="I8" s="8" t="s">
        <v>55</v>
      </c>
      <c r="J8" s="8" t="s">
        <v>56</v>
      </c>
      <c r="K8" s="8" t="s">
        <v>84</v>
      </c>
      <c r="L8" s="8" t="s">
        <v>85</v>
      </c>
      <c r="M8" s="8" t="s">
        <v>86</v>
      </c>
      <c r="N8" s="8" t="s">
        <v>87</v>
      </c>
      <c r="O8" s="8" t="s">
        <v>61</v>
      </c>
    </row>
    <row r="9" customFormat="false" ht="57.75" hidden="false" customHeight="true" outlineLevel="0" collapsed="false">
      <c r="A9" s="9" t="n">
        <v>6</v>
      </c>
      <c r="B9" s="9" t="s">
        <v>88</v>
      </c>
      <c r="C9" s="9" t="s">
        <v>89</v>
      </c>
      <c r="D9" s="9" t="s">
        <v>90</v>
      </c>
      <c r="E9" s="9" t="s">
        <v>91</v>
      </c>
      <c r="F9" s="9" t="s">
        <v>39</v>
      </c>
      <c r="G9" s="9" t="s">
        <v>92</v>
      </c>
      <c r="H9" s="9" t="s">
        <v>83</v>
      </c>
      <c r="I9" s="9" t="s">
        <v>93</v>
      </c>
      <c r="J9" s="9" t="s">
        <v>56</v>
      </c>
      <c r="K9" s="9" t="s">
        <v>94</v>
      </c>
      <c r="L9" s="9" t="s">
        <v>95</v>
      </c>
      <c r="M9" s="9" t="s">
        <v>96</v>
      </c>
      <c r="N9" s="9" t="s">
        <v>97</v>
      </c>
      <c r="O9" s="9" t="s">
        <v>98</v>
      </c>
    </row>
    <row r="10" customFormat="false" ht="57.75" hidden="false" customHeight="true" outlineLevel="0" collapsed="false">
      <c r="A10" s="8" t="n">
        <v>7</v>
      </c>
      <c r="B10" s="8" t="s">
        <v>99</v>
      </c>
      <c r="C10" s="8" t="s">
        <v>100</v>
      </c>
      <c r="D10" s="8" t="s">
        <v>101</v>
      </c>
      <c r="E10" s="8" t="s">
        <v>102</v>
      </c>
      <c r="F10" s="8" t="s">
        <v>39</v>
      </c>
      <c r="G10" s="8" t="s">
        <v>103</v>
      </c>
      <c r="H10" s="8" t="s">
        <v>104</v>
      </c>
      <c r="I10" s="8" t="s">
        <v>105</v>
      </c>
      <c r="J10" s="8" t="s">
        <v>106</v>
      </c>
      <c r="K10" s="8" t="s">
        <v>44</v>
      </c>
      <c r="L10" s="8" t="s">
        <v>107</v>
      </c>
      <c r="M10" s="8" t="s">
        <v>108</v>
      </c>
      <c r="N10" s="8" t="s">
        <v>109</v>
      </c>
      <c r="O10" s="8" t="s">
        <v>61</v>
      </c>
    </row>
    <row r="11" customFormat="false" ht="57.75" hidden="false" customHeight="true" outlineLevel="0" collapsed="false">
      <c r="A11" s="9" t="n">
        <v>8</v>
      </c>
      <c r="B11" s="9" t="s">
        <v>110</v>
      </c>
      <c r="C11" s="9" t="s">
        <v>111</v>
      </c>
      <c r="D11" s="9" t="s">
        <v>112</v>
      </c>
      <c r="E11" s="9" t="s">
        <v>113</v>
      </c>
      <c r="F11" s="9" t="s">
        <v>39</v>
      </c>
      <c r="G11" s="9" t="s">
        <v>114</v>
      </c>
      <c r="H11" s="9" t="s">
        <v>115</v>
      </c>
      <c r="I11" s="9" t="s">
        <v>116</v>
      </c>
      <c r="J11" s="9" t="s">
        <v>106</v>
      </c>
      <c r="K11" s="9" t="s">
        <v>117</v>
      </c>
      <c r="L11" s="9" t="s">
        <v>118</v>
      </c>
      <c r="M11" s="9" t="s">
        <v>119</v>
      </c>
      <c r="N11" s="9" t="s">
        <v>120</v>
      </c>
      <c r="O11" s="9" t="s">
        <v>61</v>
      </c>
    </row>
    <row r="12" customFormat="false" ht="57.75" hidden="false" customHeight="true" outlineLevel="0" collapsed="false">
      <c r="A12" s="8" t="n">
        <v>9</v>
      </c>
      <c r="B12" s="8" t="s">
        <v>121</v>
      </c>
      <c r="C12" s="8" t="s">
        <v>122</v>
      </c>
      <c r="D12" s="8" t="s">
        <v>123</v>
      </c>
      <c r="E12" s="8" t="s">
        <v>124</v>
      </c>
      <c r="F12" s="8" t="s">
        <v>39</v>
      </c>
      <c r="G12" s="8" t="s">
        <v>125</v>
      </c>
      <c r="H12" s="8" t="s">
        <v>126</v>
      </c>
      <c r="I12" s="8" t="s">
        <v>55</v>
      </c>
      <c r="J12" s="8" t="s">
        <v>106</v>
      </c>
      <c r="K12" s="8" t="s">
        <v>127</v>
      </c>
      <c r="L12" s="8" t="s">
        <v>128</v>
      </c>
      <c r="M12" s="8" t="s">
        <v>129</v>
      </c>
      <c r="N12" s="8" t="s">
        <v>130</v>
      </c>
      <c r="O12" s="8" t="s">
        <v>61</v>
      </c>
    </row>
    <row r="13" customFormat="false" ht="57.75" hidden="false" customHeight="true" outlineLevel="0" collapsed="false">
      <c r="A13" s="9" t="n">
        <v>10</v>
      </c>
      <c r="B13" s="9" t="s">
        <v>131</v>
      </c>
      <c r="C13" s="9" t="s">
        <v>132</v>
      </c>
      <c r="D13" s="9" t="s">
        <v>133</v>
      </c>
      <c r="E13" s="9" t="s">
        <v>134</v>
      </c>
      <c r="F13" s="9" t="s">
        <v>39</v>
      </c>
      <c r="G13" s="9" t="s">
        <v>135</v>
      </c>
      <c r="H13" s="9" t="s">
        <v>136</v>
      </c>
      <c r="I13" s="9" t="s">
        <v>137</v>
      </c>
      <c r="J13" s="9" t="s">
        <v>106</v>
      </c>
      <c r="K13" s="9" t="s">
        <v>138</v>
      </c>
      <c r="L13" s="9" t="s">
        <v>139</v>
      </c>
      <c r="M13" s="9" t="s">
        <v>140</v>
      </c>
      <c r="N13" s="9" t="s">
        <v>141</v>
      </c>
      <c r="O13" s="9" t="s">
        <v>98</v>
      </c>
    </row>
    <row r="14" customFormat="false" ht="57.75" hidden="false" customHeight="true" outlineLevel="0" collapsed="false">
      <c r="A14" s="8" t="n">
        <v>11</v>
      </c>
      <c r="B14" s="8" t="s">
        <v>142</v>
      </c>
      <c r="C14" s="8" t="s">
        <v>143</v>
      </c>
      <c r="D14" s="8" t="s">
        <v>144</v>
      </c>
      <c r="E14" s="8" t="s">
        <v>145</v>
      </c>
      <c r="F14" s="8" t="s">
        <v>39</v>
      </c>
      <c r="G14" s="8" t="s">
        <v>146</v>
      </c>
      <c r="H14" s="8" t="s">
        <v>147</v>
      </c>
      <c r="I14" s="8" t="s">
        <v>93</v>
      </c>
      <c r="J14" s="8" t="s">
        <v>106</v>
      </c>
      <c r="K14" s="8" t="s">
        <v>44</v>
      </c>
      <c r="L14" s="8" t="s">
        <v>148</v>
      </c>
      <c r="M14" s="8" t="s">
        <v>149</v>
      </c>
      <c r="N14" s="8" t="s">
        <v>150</v>
      </c>
      <c r="O14" s="8" t="s">
        <v>61</v>
      </c>
    </row>
    <row r="15" customFormat="false" ht="57.75" hidden="false" customHeight="true" outlineLevel="0" collapsed="false">
      <c r="A15" s="9" t="n">
        <v>12</v>
      </c>
      <c r="B15" s="9" t="s">
        <v>151</v>
      </c>
      <c r="C15" s="9" t="s">
        <v>152</v>
      </c>
      <c r="D15" s="9" t="s">
        <v>153</v>
      </c>
      <c r="E15" s="9" t="s">
        <v>154</v>
      </c>
      <c r="F15" s="9" t="s">
        <v>39</v>
      </c>
      <c r="G15" s="9" t="s">
        <v>146</v>
      </c>
      <c r="H15" s="9" t="s">
        <v>147</v>
      </c>
      <c r="I15" s="9" t="s">
        <v>93</v>
      </c>
      <c r="J15" s="9" t="s">
        <v>106</v>
      </c>
      <c r="K15" s="9" t="s">
        <v>44</v>
      </c>
      <c r="L15" s="9" t="s">
        <v>155</v>
      </c>
      <c r="M15" s="9" t="s">
        <v>156</v>
      </c>
      <c r="N15" s="9" t="s">
        <v>157</v>
      </c>
      <c r="O15" s="9" t="s">
        <v>98</v>
      </c>
    </row>
    <row r="16" customFormat="false" ht="57.75" hidden="false" customHeight="true" outlineLevel="0" collapsed="false">
      <c r="A16" s="8" t="n">
        <v>13</v>
      </c>
      <c r="B16" s="8" t="s">
        <v>158</v>
      </c>
      <c r="C16" s="8" t="s">
        <v>159</v>
      </c>
      <c r="D16" s="8" t="s">
        <v>112</v>
      </c>
      <c r="E16" s="8" t="s">
        <v>160</v>
      </c>
      <c r="F16" s="8" t="s">
        <v>39</v>
      </c>
      <c r="G16" s="8" t="s">
        <v>161</v>
      </c>
      <c r="H16" s="8" t="s">
        <v>162</v>
      </c>
      <c r="I16" s="8" t="s">
        <v>163</v>
      </c>
      <c r="J16" s="8" t="s">
        <v>164</v>
      </c>
      <c r="K16" s="8" t="s">
        <v>44</v>
      </c>
      <c r="L16" s="8" t="s">
        <v>165</v>
      </c>
      <c r="M16" s="8" t="s">
        <v>166</v>
      </c>
      <c r="N16" s="8" t="s">
        <v>167</v>
      </c>
      <c r="O16" s="8" t="s">
        <v>98</v>
      </c>
    </row>
    <row r="17" customFormat="false" ht="57.75" hidden="false" customHeight="true" outlineLevel="0" collapsed="false">
      <c r="A17" s="9" t="n">
        <v>14</v>
      </c>
      <c r="B17" s="9" t="s">
        <v>168</v>
      </c>
      <c r="C17" s="9" t="s">
        <v>169</v>
      </c>
      <c r="D17" s="9" t="s">
        <v>170</v>
      </c>
      <c r="E17" s="9" t="s">
        <v>171</v>
      </c>
      <c r="F17" s="9" t="s">
        <v>39</v>
      </c>
      <c r="G17" s="9" t="s">
        <v>172</v>
      </c>
      <c r="H17" s="9" t="s">
        <v>173</v>
      </c>
      <c r="I17" s="9" t="s">
        <v>174</v>
      </c>
      <c r="J17" s="9" t="s">
        <v>56</v>
      </c>
      <c r="K17" s="9" t="s">
        <v>175</v>
      </c>
      <c r="L17" s="9" t="s">
        <v>176</v>
      </c>
      <c r="M17" s="9" t="s">
        <v>177</v>
      </c>
      <c r="N17" s="9" t="s">
        <v>178</v>
      </c>
      <c r="O17" s="9" t="s">
        <v>61</v>
      </c>
    </row>
    <row r="18" customFormat="false" ht="57.75" hidden="false" customHeight="true" outlineLevel="0" collapsed="false">
      <c r="A18" s="8" t="n">
        <v>15</v>
      </c>
      <c r="B18" s="8" t="s">
        <v>179</v>
      </c>
      <c r="C18" s="8" t="s">
        <v>180</v>
      </c>
      <c r="D18" s="8" t="s">
        <v>51</v>
      </c>
      <c r="E18" s="8" t="s">
        <v>181</v>
      </c>
      <c r="F18" s="8" t="s">
        <v>39</v>
      </c>
      <c r="G18" s="8" t="s">
        <v>182</v>
      </c>
      <c r="H18" s="8" t="s">
        <v>183</v>
      </c>
      <c r="I18" s="8" t="s">
        <v>184</v>
      </c>
      <c r="J18" s="8" t="s">
        <v>56</v>
      </c>
      <c r="K18" s="8" t="s">
        <v>185</v>
      </c>
      <c r="L18" s="8" t="s">
        <v>186</v>
      </c>
      <c r="M18" s="8" t="s">
        <v>187</v>
      </c>
      <c r="N18" s="8" t="s">
        <v>188</v>
      </c>
      <c r="O18" s="8" t="s">
        <v>61</v>
      </c>
    </row>
    <row r="19" customFormat="false" ht="57.75" hidden="false" customHeight="true" outlineLevel="0" collapsed="false">
      <c r="A19" s="9" t="n">
        <v>16</v>
      </c>
      <c r="B19" s="9" t="s">
        <v>189</v>
      </c>
      <c r="C19" s="9" t="s">
        <v>190</v>
      </c>
      <c r="D19" s="9" t="s">
        <v>170</v>
      </c>
      <c r="E19" s="9" t="s">
        <v>191</v>
      </c>
      <c r="F19" s="9" t="s">
        <v>39</v>
      </c>
      <c r="G19" s="9" t="s">
        <v>192</v>
      </c>
      <c r="H19" s="9" t="s">
        <v>193</v>
      </c>
      <c r="I19" s="9" t="s">
        <v>194</v>
      </c>
      <c r="J19" s="9" t="s">
        <v>56</v>
      </c>
      <c r="K19" s="9" t="s">
        <v>195</v>
      </c>
      <c r="L19" s="9" t="s">
        <v>196</v>
      </c>
      <c r="M19" s="9" t="s">
        <v>197</v>
      </c>
      <c r="N19" s="9" t="s">
        <v>198</v>
      </c>
      <c r="O19" s="9" t="s">
        <v>61</v>
      </c>
    </row>
    <row r="20" customFormat="false" ht="57.75" hidden="false" customHeight="true" outlineLevel="0" collapsed="false">
      <c r="A20" s="8" t="n">
        <v>17</v>
      </c>
      <c r="B20" s="8" t="s">
        <v>199</v>
      </c>
      <c r="C20" s="8" t="s">
        <v>200</v>
      </c>
      <c r="D20" s="8" t="s">
        <v>170</v>
      </c>
      <c r="E20" s="8" t="s">
        <v>201</v>
      </c>
      <c r="F20" s="8" t="s">
        <v>39</v>
      </c>
      <c r="G20" s="8" t="s">
        <v>202</v>
      </c>
      <c r="H20" s="8" t="s">
        <v>203</v>
      </c>
      <c r="I20" s="8" t="s">
        <v>204</v>
      </c>
      <c r="J20" s="8" t="s">
        <v>56</v>
      </c>
      <c r="K20" s="8" t="s">
        <v>205</v>
      </c>
      <c r="L20" s="8" t="s">
        <v>196</v>
      </c>
      <c r="M20" s="8" t="s">
        <v>206</v>
      </c>
      <c r="N20" s="8" t="s">
        <v>207</v>
      </c>
      <c r="O20" s="8" t="s">
        <v>61</v>
      </c>
    </row>
    <row r="21" customFormat="false" ht="57.75" hidden="false" customHeight="true" outlineLevel="0" collapsed="false">
      <c r="A21" s="9" t="n">
        <v>18</v>
      </c>
      <c r="B21" s="9" t="s">
        <v>208</v>
      </c>
      <c r="C21" s="9" t="s">
        <v>209</v>
      </c>
      <c r="D21" s="9" t="s">
        <v>170</v>
      </c>
      <c r="E21" s="9" t="s">
        <v>210</v>
      </c>
      <c r="F21" s="9" t="s">
        <v>39</v>
      </c>
      <c r="G21" s="9" t="s">
        <v>211</v>
      </c>
      <c r="H21" s="9" t="s">
        <v>104</v>
      </c>
      <c r="I21" s="9" t="s">
        <v>212</v>
      </c>
      <c r="J21" s="9" t="s">
        <v>56</v>
      </c>
      <c r="K21" s="9" t="s">
        <v>213</v>
      </c>
      <c r="L21" s="9" t="s">
        <v>214</v>
      </c>
      <c r="M21" s="9" t="s">
        <v>215</v>
      </c>
      <c r="N21" s="9" t="s">
        <v>216</v>
      </c>
      <c r="O21" s="9" t="s">
        <v>61</v>
      </c>
    </row>
  </sheetData>
  <autoFilter ref="A3:O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36"/>
    <col collapsed="false" customWidth="true" hidden="false" outlineLevel="0" max="8" min="8" style="0" width="56"/>
    <col collapsed="false" customWidth="true" hidden="false" outlineLevel="0" max="10" min="9" style="0" width="46"/>
  </cols>
  <sheetData>
    <row r="1" customFormat="false" ht="17.35" hidden="false" customHeight="false" outlineLevel="0" collapsed="false">
      <c r="A1" s="5" t="s">
        <v>217</v>
      </c>
    </row>
    <row r="2" customFormat="false" ht="15" hidden="false" customHeight="false" outlineLevel="0" collapsed="false">
      <c r="A2" s="10" t="s">
        <v>218</v>
      </c>
    </row>
    <row r="4" customFormat="false" ht="15" hidden="false" customHeight="false" outlineLevel="0" collapsed="false">
      <c r="A4" s="7" t="s">
        <v>20</v>
      </c>
      <c r="B4" s="7" t="s">
        <v>21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 t="s">
        <v>219</v>
      </c>
      <c r="I4" s="7" t="s">
        <v>220</v>
      </c>
      <c r="J4" s="7" t="s">
        <v>31</v>
      </c>
    </row>
    <row r="5" customFormat="false" ht="61.5" hidden="false" customHeight="true" outlineLevel="0" collapsed="false">
      <c r="A5" s="8" t="n">
        <v>1</v>
      </c>
      <c r="B5" s="8" t="s">
        <v>35</v>
      </c>
      <c r="C5" s="8" t="s">
        <v>40</v>
      </c>
      <c r="D5" s="8" t="s">
        <v>41</v>
      </c>
      <c r="E5" s="8" t="s">
        <v>42</v>
      </c>
      <c r="F5" s="8" t="s">
        <v>43</v>
      </c>
      <c r="G5" s="8" t="s">
        <v>44</v>
      </c>
      <c r="H5" s="8" t="s">
        <v>221</v>
      </c>
      <c r="I5" s="8" t="s">
        <v>45</v>
      </c>
      <c r="J5" s="8" t="s">
        <v>45</v>
      </c>
    </row>
    <row r="6" customFormat="false" ht="61.5" hidden="false" customHeight="true" outlineLevel="0" collapsed="false">
      <c r="A6" s="9" t="n">
        <v>2</v>
      </c>
      <c r="B6" s="9" t="s">
        <v>49</v>
      </c>
      <c r="C6" s="9" t="s">
        <v>53</v>
      </c>
      <c r="D6" s="9" t="s">
        <v>54</v>
      </c>
      <c r="E6" s="9" t="s">
        <v>55</v>
      </c>
      <c r="F6" s="9" t="s">
        <v>56</v>
      </c>
      <c r="G6" s="9" t="s">
        <v>57</v>
      </c>
      <c r="H6" s="9" t="s">
        <v>222</v>
      </c>
      <c r="I6" s="9" t="s">
        <v>223</v>
      </c>
      <c r="J6" s="9" t="s">
        <v>58</v>
      </c>
    </row>
    <row r="7" customFormat="false" ht="61.5" hidden="false" customHeight="true" outlineLevel="0" collapsed="false">
      <c r="A7" s="8" t="n">
        <v>3</v>
      </c>
      <c r="B7" s="8" t="s">
        <v>62</v>
      </c>
      <c r="C7" s="8" t="s">
        <v>65</v>
      </c>
      <c r="D7" s="8" t="s">
        <v>66</v>
      </c>
      <c r="E7" s="8" t="s">
        <v>67</v>
      </c>
      <c r="F7" s="8" t="s">
        <v>56</v>
      </c>
      <c r="G7" s="8" t="s">
        <v>44</v>
      </c>
      <c r="H7" s="8" t="s">
        <v>224</v>
      </c>
      <c r="I7" s="8" t="s">
        <v>223</v>
      </c>
      <c r="J7" s="8" t="s">
        <v>68</v>
      </c>
    </row>
    <row r="8" customFormat="false" ht="61.5" hidden="false" customHeight="true" outlineLevel="0" collapsed="false">
      <c r="A8" s="9" t="n">
        <v>4</v>
      </c>
      <c r="B8" s="9" t="s">
        <v>71</v>
      </c>
      <c r="C8" s="9" t="s">
        <v>53</v>
      </c>
      <c r="D8" s="9" t="s">
        <v>54</v>
      </c>
      <c r="E8" s="9" t="s">
        <v>55</v>
      </c>
      <c r="F8" s="9" t="s">
        <v>56</v>
      </c>
      <c r="G8" s="9" t="s">
        <v>44</v>
      </c>
      <c r="H8" s="9" t="s">
        <v>225</v>
      </c>
      <c r="I8" s="9" t="s">
        <v>223</v>
      </c>
      <c r="J8" s="9" t="s">
        <v>75</v>
      </c>
    </row>
    <row r="9" customFormat="false" ht="61.5" hidden="false" customHeight="true" outlineLevel="0" collapsed="false">
      <c r="A9" s="8" t="n">
        <v>5</v>
      </c>
      <c r="B9" s="8" t="s">
        <v>78</v>
      </c>
      <c r="C9" s="8" t="s">
        <v>82</v>
      </c>
      <c r="D9" s="8" t="s">
        <v>83</v>
      </c>
      <c r="E9" s="8" t="s">
        <v>55</v>
      </c>
      <c r="F9" s="8" t="s">
        <v>56</v>
      </c>
      <c r="G9" s="8" t="s">
        <v>84</v>
      </c>
      <c r="H9" s="8" t="s">
        <v>226</v>
      </c>
      <c r="I9" s="8" t="s">
        <v>227</v>
      </c>
      <c r="J9" s="8" t="s">
        <v>85</v>
      </c>
    </row>
    <row r="10" customFormat="false" ht="61.5" hidden="false" customHeight="true" outlineLevel="0" collapsed="false">
      <c r="A10" s="9" t="n">
        <v>6</v>
      </c>
      <c r="B10" s="9" t="s">
        <v>88</v>
      </c>
      <c r="C10" s="9" t="s">
        <v>92</v>
      </c>
      <c r="D10" s="9" t="s">
        <v>83</v>
      </c>
      <c r="E10" s="9" t="s">
        <v>93</v>
      </c>
      <c r="F10" s="9" t="s">
        <v>56</v>
      </c>
      <c r="G10" s="9" t="s">
        <v>94</v>
      </c>
      <c r="H10" s="9" t="s">
        <v>228</v>
      </c>
      <c r="I10" s="9" t="s">
        <v>229</v>
      </c>
      <c r="J10" s="9" t="s">
        <v>95</v>
      </c>
    </row>
    <row r="11" customFormat="false" ht="61.5" hidden="false" customHeight="true" outlineLevel="0" collapsed="false">
      <c r="A11" s="8" t="n">
        <v>7</v>
      </c>
      <c r="B11" s="8" t="s">
        <v>99</v>
      </c>
      <c r="C11" s="8" t="s">
        <v>103</v>
      </c>
      <c r="D11" s="8" t="s">
        <v>104</v>
      </c>
      <c r="E11" s="8" t="s">
        <v>105</v>
      </c>
      <c r="F11" s="8" t="s">
        <v>106</v>
      </c>
      <c r="G11" s="8" t="s">
        <v>44</v>
      </c>
      <c r="H11" s="8" t="s">
        <v>230</v>
      </c>
      <c r="I11" s="8" t="s">
        <v>231</v>
      </c>
      <c r="J11" s="8" t="s">
        <v>107</v>
      </c>
    </row>
    <row r="12" customFormat="false" ht="61.5" hidden="false" customHeight="true" outlineLevel="0" collapsed="false">
      <c r="A12" s="9" t="n">
        <v>8</v>
      </c>
      <c r="B12" s="9" t="s">
        <v>110</v>
      </c>
      <c r="C12" s="9" t="s">
        <v>114</v>
      </c>
      <c r="D12" s="9" t="s">
        <v>115</v>
      </c>
      <c r="E12" s="9" t="s">
        <v>116</v>
      </c>
      <c r="F12" s="9" t="s">
        <v>106</v>
      </c>
      <c r="G12" s="9" t="s">
        <v>117</v>
      </c>
      <c r="H12" s="9" t="s">
        <v>232</v>
      </c>
      <c r="I12" s="9" t="s">
        <v>233</v>
      </c>
      <c r="J12" s="9" t="s">
        <v>118</v>
      </c>
    </row>
    <row r="13" customFormat="false" ht="61.5" hidden="false" customHeight="true" outlineLevel="0" collapsed="false">
      <c r="A13" s="8" t="n">
        <v>9</v>
      </c>
      <c r="B13" s="8" t="s">
        <v>121</v>
      </c>
      <c r="C13" s="8" t="s">
        <v>125</v>
      </c>
      <c r="D13" s="8" t="s">
        <v>126</v>
      </c>
      <c r="E13" s="8" t="s">
        <v>55</v>
      </c>
      <c r="F13" s="8" t="s">
        <v>106</v>
      </c>
      <c r="G13" s="8" t="s">
        <v>127</v>
      </c>
      <c r="H13" s="8" t="s">
        <v>234</v>
      </c>
      <c r="I13" s="8" t="s">
        <v>235</v>
      </c>
      <c r="J13" s="8" t="s">
        <v>128</v>
      </c>
    </row>
    <row r="14" customFormat="false" ht="61.5" hidden="false" customHeight="true" outlineLevel="0" collapsed="false">
      <c r="A14" s="9" t="n">
        <v>10</v>
      </c>
      <c r="B14" s="9" t="s">
        <v>131</v>
      </c>
      <c r="C14" s="9" t="s">
        <v>135</v>
      </c>
      <c r="D14" s="9" t="s">
        <v>136</v>
      </c>
      <c r="E14" s="9" t="s">
        <v>137</v>
      </c>
      <c r="F14" s="9" t="s">
        <v>106</v>
      </c>
      <c r="G14" s="9" t="s">
        <v>138</v>
      </c>
      <c r="H14" s="9" t="s">
        <v>236</v>
      </c>
      <c r="I14" s="9" t="s">
        <v>237</v>
      </c>
      <c r="J14" s="9" t="s">
        <v>139</v>
      </c>
    </row>
    <row r="15" customFormat="false" ht="61.5" hidden="false" customHeight="true" outlineLevel="0" collapsed="false">
      <c r="A15" s="8" t="n">
        <v>11</v>
      </c>
      <c r="B15" s="8" t="s">
        <v>142</v>
      </c>
      <c r="C15" s="8" t="s">
        <v>146</v>
      </c>
      <c r="D15" s="8" t="s">
        <v>147</v>
      </c>
      <c r="E15" s="8" t="s">
        <v>93</v>
      </c>
      <c r="F15" s="8" t="s">
        <v>106</v>
      </c>
      <c r="G15" s="8" t="s">
        <v>44</v>
      </c>
      <c r="H15" s="8" t="s">
        <v>238</v>
      </c>
      <c r="I15" s="8" t="s">
        <v>239</v>
      </c>
      <c r="J15" s="8" t="s">
        <v>148</v>
      </c>
    </row>
    <row r="16" customFormat="false" ht="61.5" hidden="false" customHeight="true" outlineLevel="0" collapsed="false">
      <c r="A16" s="9" t="n">
        <v>12</v>
      </c>
      <c r="B16" s="9" t="s">
        <v>151</v>
      </c>
      <c r="C16" s="9" t="s">
        <v>146</v>
      </c>
      <c r="D16" s="9" t="s">
        <v>147</v>
      </c>
      <c r="E16" s="9" t="s">
        <v>93</v>
      </c>
      <c r="F16" s="9" t="s">
        <v>106</v>
      </c>
      <c r="G16" s="9" t="s">
        <v>44</v>
      </c>
      <c r="H16" s="9" t="s">
        <v>240</v>
      </c>
      <c r="I16" s="9" t="s">
        <v>239</v>
      </c>
      <c r="J16" s="9" t="s">
        <v>155</v>
      </c>
    </row>
    <row r="17" customFormat="false" ht="61.5" hidden="false" customHeight="true" outlineLevel="0" collapsed="false">
      <c r="A17" s="8" t="n">
        <v>13</v>
      </c>
      <c r="B17" s="8" t="s">
        <v>158</v>
      </c>
      <c r="C17" s="8" t="s">
        <v>161</v>
      </c>
      <c r="D17" s="8" t="s">
        <v>162</v>
      </c>
      <c r="E17" s="8" t="s">
        <v>163</v>
      </c>
      <c r="F17" s="8" t="s">
        <v>164</v>
      </c>
      <c r="G17" s="8" t="s">
        <v>44</v>
      </c>
      <c r="H17" s="8" t="s">
        <v>241</v>
      </c>
      <c r="I17" s="8" t="s">
        <v>45</v>
      </c>
      <c r="J17" s="8" t="s">
        <v>165</v>
      </c>
    </row>
    <row r="18" customFormat="false" ht="61.5" hidden="false" customHeight="true" outlineLevel="0" collapsed="false">
      <c r="A18" s="9" t="n">
        <v>14</v>
      </c>
      <c r="B18" s="9" t="s">
        <v>168</v>
      </c>
      <c r="C18" s="9" t="s">
        <v>172</v>
      </c>
      <c r="D18" s="9" t="s">
        <v>173</v>
      </c>
      <c r="E18" s="9" t="s">
        <v>174</v>
      </c>
      <c r="F18" s="9" t="s">
        <v>56</v>
      </c>
      <c r="G18" s="9" t="s">
        <v>175</v>
      </c>
      <c r="H18" s="9" t="s">
        <v>242</v>
      </c>
      <c r="I18" s="9" t="s">
        <v>223</v>
      </c>
      <c r="J18" s="9" t="s">
        <v>176</v>
      </c>
    </row>
    <row r="19" customFormat="false" ht="61.5" hidden="false" customHeight="true" outlineLevel="0" collapsed="false">
      <c r="A19" s="8" t="n">
        <v>15</v>
      </c>
      <c r="B19" s="8" t="s">
        <v>179</v>
      </c>
      <c r="C19" s="8" t="s">
        <v>182</v>
      </c>
      <c r="D19" s="8" t="s">
        <v>183</v>
      </c>
      <c r="E19" s="8" t="s">
        <v>184</v>
      </c>
      <c r="F19" s="8" t="s">
        <v>56</v>
      </c>
      <c r="G19" s="8" t="s">
        <v>185</v>
      </c>
      <c r="H19" s="8" t="s">
        <v>243</v>
      </c>
      <c r="I19" s="8" t="s">
        <v>244</v>
      </c>
      <c r="J19" s="8" t="s">
        <v>186</v>
      </c>
    </row>
    <row r="20" customFormat="false" ht="61.5" hidden="false" customHeight="true" outlineLevel="0" collapsed="false">
      <c r="A20" s="9" t="n">
        <v>16</v>
      </c>
      <c r="B20" s="9" t="s">
        <v>189</v>
      </c>
      <c r="C20" s="9" t="s">
        <v>192</v>
      </c>
      <c r="D20" s="9" t="s">
        <v>193</v>
      </c>
      <c r="E20" s="9" t="s">
        <v>194</v>
      </c>
      <c r="F20" s="9" t="s">
        <v>56</v>
      </c>
      <c r="G20" s="9" t="s">
        <v>195</v>
      </c>
      <c r="H20" s="9" t="s">
        <v>245</v>
      </c>
      <c r="I20" s="9" t="s">
        <v>244</v>
      </c>
      <c r="J20" s="9" t="s">
        <v>196</v>
      </c>
    </row>
    <row r="21" customFormat="false" ht="61.5" hidden="false" customHeight="true" outlineLevel="0" collapsed="false">
      <c r="A21" s="8" t="n">
        <v>17</v>
      </c>
      <c r="B21" s="8" t="s">
        <v>199</v>
      </c>
      <c r="C21" s="8" t="s">
        <v>202</v>
      </c>
      <c r="D21" s="8" t="s">
        <v>203</v>
      </c>
      <c r="E21" s="8" t="s">
        <v>204</v>
      </c>
      <c r="F21" s="8" t="s">
        <v>56</v>
      </c>
      <c r="G21" s="8" t="s">
        <v>205</v>
      </c>
      <c r="H21" s="8" t="s">
        <v>246</v>
      </c>
      <c r="I21" s="8" t="s">
        <v>247</v>
      </c>
      <c r="J21" s="8" t="s">
        <v>196</v>
      </c>
    </row>
    <row r="22" customFormat="false" ht="61.5" hidden="false" customHeight="true" outlineLevel="0" collapsed="false">
      <c r="A22" s="9" t="n">
        <v>18</v>
      </c>
      <c r="B22" s="9" t="s">
        <v>208</v>
      </c>
      <c r="C22" s="9" t="s">
        <v>211</v>
      </c>
      <c r="D22" s="9" t="s">
        <v>104</v>
      </c>
      <c r="E22" s="9" t="s">
        <v>212</v>
      </c>
      <c r="F22" s="9" t="s">
        <v>56</v>
      </c>
      <c r="G22" s="9" t="s">
        <v>213</v>
      </c>
      <c r="H22" s="9" t="s">
        <v>248</v>
      </c>
      <c r="I22" s="9" t="s">
        <v>223</v>
      </c>
      <c r="J22" s="9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74"/>
    <col collapsed="false" customWidth="true" hidden="false" outlineLevel="0" max="4" min="4" style="0" width="60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5" t="s">
        <v>249</v>
      </c>
    </row>
    <row r="2" customFormat="false" ht="15" hidden="false" customHeight="false" outlineLevel="0" collapsed="false">
      <c r="A2" s="10" t="s">
        <v>250</v>
      </c>
    </row>
    <row r="4" customFormat="false" ht="15" hidden="false" customHeight="false" outlineLevel="0" collapsed="false">
      <c r="A4" s="7" t="s">
        <v>20</v>
      </c>
      <c r="B4" s="7" t="s">
        <v>21</v>
      </c>
      <c r="C4" s="7" t="s">
        <v>251</v>
      </c>
      <c r="D4" s="7" t="s">
        <v>252</v>
      </c>
      <c r="E4" s="7" t="s">
        <v>253</v>
      </c>
    </row>
    <row r="5" customFormat="false" ht="33.75" hidden="false" customHeight="true" outlineLevel="0" collapsed="false">
      <c r="A5" s="8" t="n">
        <v>1</v>
      </c>
      <c r="B5" s="8" t="s">
        <v>35</v>
      </c>
      <c r="C5" s="8" t="s">
        <v>254</v>
      </c>
      <c r="D5" s="8" t="s">
        <v>255</v>
      </c>
      <c r="E5" s="11" t="s">
        <v>256</v>
      </c>
    </row>
    <row r="6" customFormat="false" ht="33.75" hidden="false" customHeight="true" outlineLevel="0" collapsed="false">
      <c r="A6" s="8" t="n">
        <v>2</v>
      </c>
      <c r="B6" s="8" t="s">
        <v>49</v>
      </c>
      <c r="C6" s="8" t="s">
        <v>257</v>
      </c>
      <c r="D6" s="8" t="s">
        <v>258</v>
      </c>
      <c r="E6" s="11" t="s">
        <v>259</v>
      </c>
    </row>
    <row r="7" customFormat="false" ht="33.75" hidden="false" customHeight="true" outlineLevel="0" collapsed="false">
      <c r="A7" s="8" t="n">
        <v>3</v>
      </c>
      <c r="B7" s="8" t="s">
        <v>62</v>
      </c>
      <c r="C7" s="8" t="s">
        <v>260</v>
      </c>
      <c r="D7" s="8" t="s">
        <v>261</v>
      </c>
      <c r="E7" s="11" t="s">
        <v>262</v>
      </c>
    </row>
    <row r="8" customFormat="false" ht="33.75" hidden="false" customHeight="true" outlineLevel="0" collapsed="false">
      <c r="A8" s="8" t="n">
        <v>4</v>
      </c>
      <c r="B8" s="8" t="s">
        <v>71</v>
      </c>
      <c r="C8" s="8" t="s">
        <v>263</v>
      </c>
      <c r="D8" s="8" t="s">
        <v>264</v>
      </c>
      <c r="E8" s="11" t="s">
        <v>265</v>
      </c>
    </row>
    <row r="9" customFormat="false" ht="33.75" hidden="false" customHeight="true" outlineLevel="0" collapsed="false">
      <c r="A9" s="8" t="n">
        <v>5</v>
      </c>
      <c r="B9" s="8" t="s">
        <v>78</v>
      </c>
      <c r="C9" s="8" t="s">
        <v>266</v>
      </c>
      <c r="D9" s="8" t="s">
        <v>267</v>
      </c>
      <c r="E9" s="11" t="s">
        <v>268</v>
      </c>
    </row>
    <row r="10" customFormat="false" ht="33.75" hidden="false" customHeight="true" outlineLevel="0" collapsed="false">
      <c r="A10" s="8" t="n">
        <v>6</v>
      </c>
      <c r="B10" s="8" t="s">
        <v>88</v>
      </c>
      <c r="C10" s="8" t="s">
        <v>269</v>
      </c>
      <c r="D10" s="8" t="s">
        <v>270</v>
      </c>
      <c r="E10" s="11" t="s">
        <v>271</v>
      </c>
    </row>
    <row r="11" customFormat="false" ht="33.75" hidden="false" customHeight="true" outlineLevel="0" collapsed="false">
      <c r="A11" s="8" t="n">
        <v>7</v>
      </c>
      <c r="B11" s="8" t="s">
        <v>99</v>
      </c>
      <c r="C11" s="8" t="s">
        <v>272</v>
      </c>
      <c r="D11" s="8" t="s">
        <v>273</v>
      </c>
      <c r="E11" s="11" t="s">
        <v>274</v>
      </c>
    </row>
    <row r="12" customFormat="false" ht="33.75" hidden="false" customHeight="true" outlineLevel="0" collapsed="false">
      <c r="A12" s="8" t="n">
        <v>8</v>
      </c>
      <c r="B12" s="8" t="s">
        <v>110</v>
      </c>
      <c r="C12" s="8" t="s">
        <v>275</v>
      </c>
      <c r="D12" s="8" t="s">
        <v>276</v>
      </c>
      <c r="E12" s="11" t="s">
        <v>277</v>
      </c>
    </row>
    <row r="13" customFormat="false" ht="33.75" hidden="false" customHeight="true" outlineLevel="0" collapsed="false">
      <c r="A13" s="8" t="n">
        <v>9</v>
      </c>
      <c r="B13" s="8" t="s">
        <v>121</v>
      </c>
      <c r="C13" s="8" t="s">
        <v>278</v>
      </c>
      <c r="D13" s="8" t="s">
        <v>279</v>
      </c>
      <c r="E13" s="11" t="s">
        <v>280</v>
      </c>
    </row>
    <row r="14" customFormat="false" ht="33.75" hidden="false" customHeight="true" outlineLevel="0" collapsed="false">
      <c r="A14" s="8" t="n">
        <v>10</v>
      </c>
      <c r="B14" s="8" t="s">
        <v>131</v>
      </c>
      <c r="C14" s="8" t="s">
        <v>281</v>
      </c>
      <c r="D14" s="8" t="s">
        <v>282</v>
      </c>
      <c r="E14" s="11" t="s">
        <v>283</v>
      </c>
    </row>
    <row r="15" customFormat="false" ht="33.75" hidden="false" customHeight="true" outlineLevel="0" collapsed="false">
      <c r="A15" s="8" t="n">
        <v>11</v>
      </c>
      <c r="B15" s="8" t="s">
        <v>142</v>
      </c>
      <c r="C15" s="8" t="s">
        <v>284</v>
      </c>
      <c r="D15" s="8" t="s">
        <v>285</v>
      </c>
      <c r="E15" s="11" t="s">
        <v>286</v>
      </c>
    </row>
    <row r="16" customFormat="false" ht="33.75" hidden="false" customHeight="true" outlineLevel="0" collapsed="false">
      <c r="A16" s="8" t="n">
        <v>12</v>
      </c>
      <c r="B16" s="8" t="s">
        <v>151</v>
      </c>
      <c r="C16" s="8" t="s">
        <v>287</v>
      </c>
      <c r="D16" s="8" t="s">
        <v>288</v>
      </c>
      <c r="E16" s="11" t="s">
        <v>289</v>
      </c>
    </row>
    <row r="17" customFormat="false" ht="33.75" hidden="false" customHeight="true" outlineLevel="0" collapsed="false">
      <c r="A17" s="8" t="n">
        <v>13</v>
      </c>
      <c r="B17" s="8" t="s">
        <v>158</v>
      </c>
      <c r="C17" s="8" t="s">
        <v>290</v>
      </c>
      <c r="D17" s="8" t="s">
        <v>291</v>
      </c>
      <c r="E17" s="11" t="s">
        <v>292</v>
      </c>
    </row>
    <row r="18" customFormat="false" ht="33.75" hidden="false" customHeight="true" outlineLevel="0" collapsed="false">
      <c r="A18" s="8" t="n">
        <v>14</v>
      </c>
      <c r="B18" s="8" t="s">
        <v>168</v>
      </c>
      <c r="C18" s="8" t="s">
        <v>293</v>
      </c>
      <c r="D18" s="8" t="s">
        <v>294</v>
      </c>
      <c r="E18" s="11" t="s">
        <v>295</v>
      </c>
    </row>
    <row r="19" customFormat="false" ht="33.75" hidden="false" customHeight="true" outlineLevel="0" collapsed="false">
      <c r="A19" s="8" t="n">
        <v>15</v>
      </c>
      <c r="B19" s="8" t="s">
        <v>179</v>
      </c>
      <c r="C19" s="8" t="s">
        <v>296</v>
      </c>
      <c r="D19" s="8" t="s">
        <v>297</v>
      </c>
      <c r="E19" s="11" t="s">
        <v>298</v>
      </c>
    </row>
    <row r="20" customFormat="false" ht="33.75" hidden="false" customHeight="true" outlineLevel="0" collapsed="false">
      <c r="A20" s="8" t="n">
        <v>16</v>
      </c>
      <c r="B20" s="8" t="s">
        <v>189</v>
      </c>
      <c r="C20" s="8" t="s">
        <v>299</v>
      </c>
      <c r="D20" s="8" t="s">
        <v>300</v>
      </c>
      <c r="E20" s="11" t="s">
        <v>301</v>
      </c>
    </row>
    <row r="21" customFormat="false" ht="33.75" hidden="false" customHeight="true" outlineLevel="0" collapsed="false">
      <c r="A21" s="8" t="n">
        <v>17</v>
      </c>
      <c r="B21" s="8" t="s">
        <v>199</v>
      </c>
      <c r="C21" s="8" t="s">
        <v>302</v>
      </c>
      <c r="D21" s="8" t="s">
        <v>303</v>
      </c>
      <c r="E21" s="11" t="s">
        <v>304</v>
      </c>
    </row>
    <row r="22" customFormat="false" ht="33.75" hidden="false" customHeight="true" outlineLevel="0" collapsed="false">
      <c r="A22" s="8" t="n">
        <v>18</v>
      </c>
      <c r="B22" s="8" t="s">
        <v>208</v>
      </c>
      <c r="C22" s="8" t="s">
        <v>305</v>
      </c>
      <c r="D22" s="8" t="s">
        <v>306</v>
      </c>
      <c r="E22" s="11" t="s">
        <v>307</v>
      </c>
    </row>
  </sheetData>
  <hyperlinks>
    <hyperlink ref="E5" r:id="rId1" display="https://digotor.info/wp-content/uploads/2026/07/Anamnesebogen_Version-8_DIGOTOR_07-2026.pdf"/>
    <hyperlink ref="E6" r:id="rId2" display="https://digotor.info/wp-content/uploads/2026/05/Oswestry-Disability-Index-ODI_09-2023.pdf"/>
    <hyperlink ref="E7" r:id="rId3" display="https://digotor.info/wp-content/uploads/2026/05/Roland-and-Morris-Disability-Questionnaire-RMDQ_09-2023.pdf"/>
    <hyperlink ref="E8" r:id="rId4" display="https://digotor.info/wp-content/uploads/2026/05/Neck-Disability-Index_09-2023.pdf"/>
    <hyperlink ref="E9" r:id="rId5" display="https://digotor.info/wp-content/uploads/2026/05/Shoulder-Pain-and-Disability-Index-SPADI_03-2026.pdf"/>
    <hyperlink ref="E10" r:id="rId6" display="https://digotor.info/wp-content/uploads/2026/08/Patient-Rated-Wrist-Evaluation-Score-PRWE-G_08-2026.pdf"/>
    <hyperlink ref="E11" r:id="rId7" display="https://digotor.info/wp-content/uploads/2026/05/Lower-Extremity-Functional-Scale-LEFS_05-2024.pdf"/>
    <hyperlink ref="E12" r:id="rId8" display="https://digotor.info/wp-content/uploads/2026/05/Knee-Injury-Osteoarthritis-Outcome-Score-KOOS_09-2023.pdf"/>
    <hyperlink ref="E13" r:id="rId9" display="https://digotor.info/wp-content/uploads/2026/05/Hip-Osteoarthritis-Outcome-Score-HOOS_09-2023.pdf"/>
    <hyperlink ref="E14" r:id="rId10" display="https://digotor.info/wp-content/uploads/2026/05/Foot-and-Ankle-Ability-Measure-FAAM-G_09-2023.pdf"/>
    <hyperlink ref="E15" r:id="rId11" display="https://digotor.info/wp-content/uploads/2026/05/VISA-A-Score_09-2023.pdf"/>
    <hyperlink ref="E16" r:id="rId12" display="https://digotor.info/wp-content/uploads/2026/05/VISA-P-G-Score_09-2023.pdf"/>
    <hyperlink ref="E17" r:id="rId13" display="https://digotor.info/wp-content/uploads/2026/05/Tegner-Activity-Scale-TAS_09-2023.pdf"/>
    <hyperlink ref="E18" r:id="rId14" display="https://digotor.info/wp-content/uploads/2026/05/Fear-Avoidance-Belief-Questionnaire-FABQ_09-2023.pdf"/>
    <hyperlink ref="E19" r:id="rId15" display="https://digotor.info/wp-content/uploads/2026/05/STarT-Back-Screening-Tool-Deutsch_09-2023.pdf"/>
    <hyperlink ref="E20" r:id="rId16" display="https://digotor.info/wp-content/uploads/2026/05/Patient-Health-Questionnaire-4-PHQ-4_09-2023.pdf"/>
    <hyperlink ref="E21" r:id="rId17" display="https://digotor.info/wp-content/uploads/2026/05/Tampa-Scale-of-Kinesiophobia_09-2023.pdf"/>
    <hyperlink ref="E22" r:id="rId18" display="https://digotor.info/wp-content/uploads/2026/05/Pain-Catastrophizing-Scale-PCS_09-2023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2026-09-20T22:02:46Z</dcterms:created>
  <dc:creator>openpyxl</dc:creator>
  <dc:description/>
  <dc:language>en-US</dc:language>
  <cp:lastModifiedBy/>
  <dcterms:modified xsi:type="dcterms:W3CDTF">2026-09-20T22:02:46Z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